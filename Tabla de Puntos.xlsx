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mileag-my.sharepoint.com/personal/marco_herrero_smileag_mx/Documents/Documents/Procter/Juntas Mensuales/Mayo 26/"/>
    </mc:Choice>
  </mc:AlternateContent>
  <xr:revisionPtr revIDLastSave="88" documentId="8_{52B1E4E2-A42B-4D44-85E5-C256B4284837}" xr6:coauthVersionLast="47" xr6:coauthVersionMax="47" xr10:uidLastSave="{1CCAD23E-47E4-4AAD-95A6-C8A41B79E4DA}"/>
  <bookViews>
    <workbookView xWindow="-28920" yWindow="3555" windowWidth="29040" windowHeight="15720" xr2:uid="{C4FCA752-2950-48C0-A124-A1B14B3A116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" l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4" i="1"/>
  <c r="O5" i="1"/>
  <c r="O6" i="1"/>
  <c r="O3" i="1"/>
  <c r="J3" i="1"/>
  <c r="J4" i="1"/>
  <c r="J5" i="1"/>
  <c r="J6" i="1"/>
  <c r="J7" i="1"/>
  <c r="J8" i="1"/>
  <c r="J9" i="1"/>
  <c r="J10" i="1"/>
  <c r="J11" i="1"/>
  <c r="J12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</calcChain>
</file>

<file path=xl/sharedStrings.xml><?xml version="1.0" encoding="utf-8"?>
<sst xmlns="http://schemas.openxmlformats.org/spreadsheetml/2006/main" count="91" uniqueCount="59">
  <si>
    <t>Numero</t>
  </si>
  <si>
    <t>Equipo</t>
  </si>
  <si>
    <t>P. Porra</t>
  </si>
  <si>
    <t>P. Actv.1</t>
  </si>
  <si>
    <t>P. Act. 3</t>
  </si>
  <si>
    <t>P. Act. 2 Slido</t>
  </si>
  <si>
    <t>Penalización</t>
  </si>
  <si>
    <t>Extras</t>
  </si>
  <si>
    <t>XMEN</t>
  </si>
  <si>
    <t>TITIS</t>
  </si>
  <si>
    <t>MOYAMEN</t>
  </si>
  <si>
    <t>ESPARTANOS MEN</t>
  </si>
  <si>
    <t>LOS INACEPTABLES</t>
  </si>
  <si>
    <t>LOS TOUCH POINT</t>
  </si>
  <si>
    <t>ATLETICO PG</t>
  </si>
  <si>
    <t>POWER CLEAN</t>
  </si>
  <si>
    <t>LOS INTENSOS II</t>
  </si>
  <si>
    <t>MAXIMO PODER</t>
  </si>
  <si>
    <t>LOS MASTER DEL ANAQUEL</t>
  </si>
  <si>
    <t>LOS REYES DEL KBD</t>
  </si>
  <si>
    <t>LAS ARDILLAS</t>
  </si>
  <si>
    <t>PROMO LOVERS</t>
  </si>
  <si>
    <t>COLAGENOS</t>
  </si>
  <si>
    <t>LOS 4X4</t>
  </si>
  <si>
    <t>ATLETICO SMILER</t>
  </si>
  <si>
    <t>CLUB PG</t>
  </si>
  <si>
    <t>Gillette FC</t>
  </si>
  <si>
    <t>Real Salvox</t>
  </si>
  <si>
    <t>SUPER SMILLERS</t>
  </si>
  <si>
    <t>LOS PRO INTENSE</t>
  </si>
  <si>
    <t>ESPUMOSOS</t>
  </si>
  <si>
    <t>LOS FEBREZZES</t>
  </si>
  <si>
    <t xml:space="preserve">FUERZA PROCTER </t>
  </si>
  <si>
    <t xml:space="preserve">ME CHILLA LA ARDILLA </t>
  </si>
  <si>
    <t>MIAMI BEACH</t>
  </si>
  <si>
    <t>LA PILDORITA</t>
  </si>
  <si>
    <t>Supernova FC</t>
  </si>
  <si>
    <t>Los pardos</t>
  </si>
  <si>
    <t>Deportivo Romance</t>
  </si>
  <si>
    <t>Deportivo P&amp;G</t>
  </si>
  <si>
    <t>Deportivo Pantene</t>
  </si>
  <si>
    <t>CLUB FC.</t>
  </si>
  <si>
    <t>FRESH</t>
  </si>
  <si>
    <t xml:space="preserve">DRAGON BALL </t>
  </si>
  <si>
    <t xml:space="preserve">POWER CLEAN </t>
  </si>
  <si>
    <t>SEDE</t>
  </si>
  <si>
    <t>AGUASCALIENTES</t>
  </si>
  <si>
    <t>DURANGO</t>
  </si>
  <si>
    <t>HERMOSILLO</t>
  </si>
  <si>
    <t>MAZATLÁN</t>
  </si>
  <si>
    <t>MEXICALI</t>
  </si>
  <si>
    <t>NOGALES</t>
  </si>
  <si>
    <t>NUEVO LAREDO</t>
  </si>
  <si>
    <t>OBREGON</t>
  </si>
  <si>
    <t>PIEDRAS NEGRAS</t>
  </si>
  <si>
    <t>SAN LUIS</t>
  </si>
  <si>
    <t>TIJUANA</t>
  </si>
  <si>
    <t>Total puntos Marzo</t>
  </si>
  <si>
    <t>Total puntos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</si>
</sst>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 applyAlignment="1">
      <alignment horizontal="right"/>
    </xf>
    <xf numFmtId="0" fontId="1" fillId="0" borderId="2" xfId="0" applyFont="1" applyBorder="1"/>
  </cellXfs>
  <cellStyles count="2">
    <cellStyle name="Normal" xfId="0" builtinId="0"/>
    <cellStyle name="Normal 3 2" xfId="1" xr:uid="{05BD6058-6E07-43A7-9F84-53C325BE18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09B8B-C256-401C-B289-2D6397679E35}">
  <dimension ref="A2:O40"/>
  <sheetViews>
    <sheetView tabSelected="1" zoomScale="121" workbookViewId="0">
      <selection activeCell="Q13" sqref="Q13"/>
    </sheetView>
  </sheetViews>
  <sheetFormatPr baseColWidth="10" defaultColWidth="11.453125" defaultRowHeight="14.5" x14ac:dyDescent="0.35"/>
  <cols>
    <col min="1" max="1" width="17.36328125" customWidth="1"/>
    <col min="3" max="3" width="35.453125" customWidth="1"/>
    <col min="7" max="9" width="12.54296875" customWidth="1"/>
    <col min="10" max="10" width="17.453125" customWidth="1"/>
    <col min="12" max="12" width="13.1796875" customWidth="1"/>
    <col min="15" max="15" width="19" customWidth="1"/>
  </cols>
  <sheetData>
    <row r="2" spans="1:15" x14ac:dyDescent="0.35">
      <c r="A2" t="s">
        <v>45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4" t="s">
        <v>5</v>
      </c>
      <c r="H2" s="5" t="s">
        <v>6</v>
      </c>
      <c r="I2" s="5" t="s">
        <v>7</v>
      </c>
      <c r="J2" s="2" t="s">
        <v>57</v>
      </c>
      <c r="K2" s="6" t="s">
        <v>2</v>
      </c>
      <c r="L2" s="2" t="s">
        <v>3</v>
      </c>
      <c r="M2" s="2" t="s">
        <v>5</v>
      </c>
      <c r="N2" s="2" t="s">
        <v>4</v>
      </c>
      <c r="O2" s="8" t="s">
        <v>58</v>
      </c>
    </row>
    <row r="3" spans="1:15" x14ac:dyDescent="0.35">
      <c r="A3" t="s">
        <v>46</v>
      </c>
      <c r="B3" s="3">
        <v>1</v>
      </c>
      <c r="C3" s="1" t="s">
        <v>8</v>
      </c>
      <c r="D3" s="1">
        <v>20</v>
      </c>
      <c r="E3" s="1">
        <v>25</v>
      </c>
      <c r="F3" s="1">
        <v>10</v>
      </c>
      <c r="G3" s="7">
        <v>20.38</v>
      </c>
      <c r="H3" s="1">
        <v>0</v>
      </c>
      <c r="I3" s="1"/>
      <c r="J3" s="1">
        <f t="shared" ref="J3:J6" si="0">SUM(D3:I3)</f>
        <v>75.38</v>
      </c>
      <c r="K3">
        <v>20</v>
      </c>
      <c r="L3">
        <v>13.86</v>
      </c>
      <c r="M3">
        <v>12.92</v>
      </c>
      <c r="O3">
        <f>SUM(K3:N3)</f>
        <v>46.78</v>
      </c>
    </row>
    <row r="4" spans="1:15" x14ac:dyDescent="0.35">
      <c r="A4" t="s">
        <v>46</v>
      </c>
      <c r="B4" s="3">
        <v>2</v>
      </c>
      <c r="C4" s="1" t="s">
        <v>9</v>
      </c>
      <c r="D4" s="1">
        <v>20</v>
      </c>
      <c r="E4" s="1">
        <v>15</v>
      </c>
      <c r="F4" s="1">
        <v>25</v>
      </c>
      <c r="G4" s="7">
        <v>19.55</v>
      </c>
      <c r="H4" s="1">
        <v>0</v>
      </c>
      <c r="I4" s="1"/>
      <c r="J4" s="1">
        <f t="shared" si="0"/>
        <v>79.55</v>
      </c>
      <c r="K4">
        <v>20</v>
      </c>
      <c r="L4">
        <v>11.74</v>
      </c>
      <c r="M4">
        <v>12.27</v>
      </c>
      <c r="O4">
        <f t="shared" ref="O4:O6" si="1">SUM(K4:N4)</f>
        <v>44.010000000000005</v>
      </c>
    </row>
    <row r="5" spans="1:15" x14ac:dyDescent="0.35">
      <c r="A5" t="s">
        <v>46</v>
      </c>
      <c r="B5" s="3">
        <v>3</v>
      </c>
      <c r="C5" s="1" t="s">
        <v>10</v>
      </c>
      <c r="D5" s="1">
        <v>20</v>
      </c>
      <c r="E5" s="1">
        <v>15</v>
      </c>
      <c r="F5" s="1">
        <v>15</v>
      </c>
      <c r="G5" s="7">
        <v>20.149999999999999</v>
      </c>
      <c r="H5" s="1">
        <v>0</v>
      </c>
      <c r="I5" s="1"/>
      <c r="J5" s="1">
        <f t="shared" si="0"/>
        <v>70.150000000000006</v>
      </c>
      <c r="K5">
        <v>20</v>
      </c>
      <c r="L5">
        <v>13.1</v>
      </c>
      <c r="M5">
        <v>12.96</v>
      </c>
      <c r="O5">
        <f t="shared" si="1"/>
        <v>46.06</v>
      </c>
    </row>
    <row r="6" spans="1:15" x14ac:dyDescent="0.35">
      <c r="A6" t="s">
        <v>46</v>
      </c>
      <c r="B6" s="3">
        <v>4</v>
      </c>
      <c r="C6" s="1" t="s">
        <v>11</v>
      </c>
      <c r="D6" s="1">
        <v>20</v>
      </c>
      <c r="E6" s="1">
        <v>10</v>
      </c>
      <c r="F6" s="1">
        <v>15</v>
      </c>
      <c r="G6" s="7">
        <v>19.809999999999999</v>
      </c>
      <c r="H6" s="1">
        <v>0</v>
      </c>
      <c r="I6" s="1"/>
      <c r="J6" s="1">
        <f t="shared" si="0"/>
        <v>64.81</v>
      </c>
      <c r="K6">
        <v>20</v>
      </c>
      <c r="L6">
        <v>14.04</v>
      </c>
      <c r="M6">
        <v>13.23</v>
      </c>
      <c r="O6">
        <f t="shared" si="1"/>
        <v>47.269999999999996</v>
      </c>
    </row>
    <row r="7" spans="1:15" x14ac:dyDescent="0.35">
      <c r="A7" t="s">
        <v>47</v>
      </c>
      <c r="B7" s="3">
        <v>1</v>
      </c>
      <c r="C7" s="1" t="s">
        <v>12</v>
      </c>
      <c r="D7" s="1">
        <v>20</v>
      </c>
      <c r="E7" s="1">
        <v>25</v>
      </c>
      <c r="F7" s="1">
        <v>10</v>
      </c>
      <c r="G7" s="1">
        <v>19.29</v>
      </c>
      <c r="H7" s="1"/>
      <c r="I7" s="1">
        <v>4</v>
      </c>
      <c r="J7" s="1">
        <f t="shared" ref="J7:J8" si="2">SUM(D7:I7)</f>
        <v>78.289999999999992</v>
      </c>
      <c r="K7">
        <v>20</v>
      </c>
      <c r="L7">
        <v>13.06</v>
      </c>
      <c r="M7">
        <v>12.5</v>
      </c>
      <c r="O7">
        <f t="shared" ref="O7:O8" si="3">SUM(K7:N7)</f>
        <v>45.56</v>
      </c>
    </row>
    <row r="8" spans="1:15" x14ac:dyDescent="0.35">
      <c r="A8" t="s">
        <v>47</v>
      </c>
      <c r="B8" s="3">
        <v>2</v>
      </c>
      <c r="C8" s="1" t="s">
        <v>13</v>
      </c>
      <c r="D8" s="1">
        <v>20</v>
      </c>
      <c r="E8" s="1">
        <v>10</v>
      </c>
      <c r="F8" s="1">
        <v>25</v>
      </c>
      <c r="G8" s="1">
        <v>19.739999999999998</v>
      </c>
      <c r="H8" s="1"/>
      <c r="I8" s="1">
        <v>4</v>
      </c>
      <c r="J8" s="1">
        <f t="shared" si="2"/>
        <v>78.739999999999995</v>
      </c>
      <c r="K8">
        <v>20</v>
      </c>
      <c r="L8">
        <v>12.13</v>
      </c>
      <c r="M8">
        <v>11.67</v>
      </c>
      <c r="N8">
        <v>25</v>
      </c>
      <c r="O8">
        <f t="shared" si="3"/>
        <v>68.800000000000011</v>
      </c>
    </row>
    <row r="9" spans="1:15" x14ac:dyDescent="0.35">
      <c r="A9" t="s">
        <v>48</v>
      </c>
      <c r="B9" s="3">
        <v>1</v>
      </c>
      <c r="C9" s="1" t="s">
        <v>14</v>
      </c>
      <c r="D9" s="1">
        <v>20</v>
      </c>
      <c r="E9" s="1">
        <v>15</v>
      </c>
      <c r="F9" s="1">
        <v>15</v>
      </c>
      <c r="G9" s="1">
        <v>17.829999999999998</v>
      </c>
      <c r="H9" s="1"/>
      <c r="I9" s="1">
        <v>10</v>
      </c>
      <c r="J9" s="1">
        <f t="shared" ref="J9:J12" si="4">SUM(D9:I9)</f>
        <v>77.83</v>
      </c>
      <c r="K9">
        <v>20</v>
      </c>
      <c r="L9">
        <v>13.33</v>
      </c>
      <c r="M9">
        <v>13.13</v>
      </c>
      <c r="O9">
        <f t="shared" ref="O9:O12" si="5">SUM(K9:N9)</f>
        <v>46.46</v>
      </c>
    </row>
    <row r="10" spans="1:15" x14ac:dyDescent="0.35">
      <c r="A10" t="s">
        <v>48</v>
      </c>
      <c r="B10" s="3">
        <v>2</v>
      </c>
      <c r="C10" s="1" t="s">
        <v>15</v>
      </c>
      <c r="D10" s="1">
        <v>20</v>
      </c>
      <c r="E10" s="1">
        <v>10</v>
      </c>
      <c r="F10" s="1">
        <v>25</v>
      </c>
      <c r="G10" s="1">
        <v>17.5</v>
      </c>
      <c r="H10" s="1"/>
      <c r="I10" s="1">
        <v>11</v>
      </c>
      <c r="J10" s="1">
        <f t="shared" si="4"/>
        <v>83.5</v>
      </c>
      <c r="K10">
        <v>20</v>
      </c>
      <c r="L10">
        <v>10</v>
      </c>
      <c r="M10">
        <v>10.42</v>
      </c>
      <c r="N10">
        <v>10</v>
      </c>
      <c r="O10">
        <f t="shared" si="5"/>
        <v>50.42</v>
      </c>
    </row>
    <row r="11" spans="1:15" x14ac:dyDescent="0.35">
      <c r="A11" t="s">
        <v>48</v>
      </c>
      <c r="B11" s="3">
        <v>3</v>
      </c>
      <c r="C11" s="1" t="s">
        <v>16</v>
      </c>
      <c r="D11" s="1">
        <v>20</v>
      </c>
      <c r="E11" s="1">
        <v>15</v>
      </c>
      <c r="F11" s="1">
        <v>10</v>
      </c>
      <c r="G11" s="1">
        <v>15.48</v>
      </c>
      <c r="H11" s="1"/>
      <c r="I11" s="1">
        <v>11</v>
      </c>
      <c r="J11" s="1">
        <f t="shared" si="4"/>
        <v>71.48</v>
      </c>
      <c r="K11">
        <v>20</v>
      </c>
      <c r="L11">
        <v>14.33</v>
      </c>
      <c r="M11">
        <v>11.11</v>
      </c>
      <c r="N11">
        <v>25</v>
      </c>
      <c r="O11">
        <f t="shared" si="5"/>
        <v>70.44</v>
      </c>
    </row>
    <row r="12" spans="1:15" x14ac:dyDescent="0.35">
      <c r="A12" t="s">
        <v>48</v>
      </c>
      <c r="B12" s="3">
        <v>4</v>
      </c>
      <c r="C12" s="1" t="s">
        <v>17</v>
      </c>
      <c r="D12" s="1">
        <v>20</v>
      </c>
      <c r="E12" s="1">
        <v>25</v>
      </c>
      <c r="F12" s="1">
        <v>15</v>
      </c>
      <c r="G12" s="1">
        <v>15.21</v>
      </c>
      <c r="H12" s="1"/>
      <c r="I12" s="1">
        <v>13</v>
      </c>
      <c r="J12" s="1">
        <f t="shared" si="4"/>
        <v>88.210000000000008</v>
      </c>
      <c r="K12">
        <v>20</v>
      </c>
      <c r="L12">
        <v>17.86</v>
      </c>
      <c r="M12">
        <v>9.58</v>
      </c>
      <c r="N12">
        <v>25</v>
      </c>
      <c r="O12">
        <f t="shared" si="5"/>
        <v>72.44</v>
      </c>
    </row>
    <row r="13" spans="1:15" x14ac:dyDescent="0.35">
      <c r="A13" t="s">
        <v>49</v>
      </c>
      <c r="B13" s="3">
        <v>1</v>
      </c>
      <c r="C13" s="1" t="s">
        <v>18</v>
      </c>
      <c r="D13" s="1">
        <v>20</v>
      </c>
      <c r="E13" s="1">
        <v>10</v>
      </c>
      <c r="F13" s="1">
        <v>10</v>
      </c>
      <c r="G13" s="1">
        <v>20.83</v>
      </c>
      <c r="H13" s="1">
        <v>-2</v>
      </c>
      <c r="I13" s="1"/>
      <c r="J13" s="1">
        <f t="shared" ref="J13:J14" si="6">SUM(D13:I13)</f>
        <v>58.83</v>
      </c>
      <c r="K13">
        <v>20</v>
      </c>
      <c r="L13">
        <v>11.36</v>
      </c>
      <c r="M13">
        <v>10.15</v>
      </c>
      <c r="O13">
        <f t="shared" ref="O13:O14" si="7">SUM(K13:N13)</f>
        <v>41.51</v>
      </c>
    </row>
    <row r="14" spans="1:15" x14ac:dyDescent="0.35">
      <c r="A14" t="s">
        <v>49</v>
      </c>
      <c r="B14" s="3">
        <v>2</v>
      </c>
      <c r="C14" s="1" t="s">
        <v>19</v>
      </c>
      <c r="D14" s="1">
        <v>20</v>
      </c>
      <c r="E14" s="1">
        <v>25</v>
      </c>
      <c r="F14" s="1">
        <v>25</v>
      </c>
      <c r="G14" s="1">
        <v>20.91</v>
      </c>
      <c r="H14" s="1"/>
      <c r="I14" s="1">
        <v>7</v>
      </c>
      <c r="J14" s="1">
        <f t="shared" si="6"/>
        <v>97.91</v>
      </c>
      <c r="K14">
        <v>20</v>
      </c>
      <c r="L14">
        <v>9.5</v>
      </c>
      <c r="M14">
        <v>11.17</v>
      </c>
      <c r="O14">
        <f t="shared" si="7"/>
        <v>40.67</v>
      </c>
    </row>
    <row r="15" spans="1:15" x14ac:dyDescent="0.35">
      <c r="A15" t="s">
        <v>50</v>
      </c>
      <c r="B15" s="3">
        <v>1</v>
      </c>
      <c r="C15" s="1" t="s">
        <v>20</v>
      </c>
      <c r="D15" s="1">
        <v>20</v>
      </c>
      <c r="E15" s="1">
        <v>15</v>
      </c>
      <c r="F15" s="1">
        <v>15</v>
      </c>
      <c r="G15" s="1">
        <v>16.79</v>
      </c>
      <c r="H15" s="1"/>
      <c r="I15" s="1"/>
      <c r="J15" s="1">
        <f t="shared" ref="J15:J18" si="8">SUM(D15:I15)</f>
        <v>66.789999999999992</v>
      </c>
      <c r="K15">
        <v>20</v>
      </c>
      <c r="L15">
        <v>11.15</v>
      </c>
      <c r="M15">
        <v>11</v>
      </c>
      <c r="N15">
        <v>10</v>
      </c>
      <c r="O15">
        <f t="shared" ref="O15:O18" si="9">SUM(K15:N15)</f>
        <v>52.15</v>
      </c>
    </row>
    <row r="16" spans="1:15" x14ac:dyDescent="0.35">
      <c r="A16" t="s">
        <v>50</v>
      </c>
      <c r="B16" s="3">
        <v>2</v>
      </c>
      <c r="C16" s="1" t="s">
        <v>21</v>
      </c>
      <c r="D16" s="1">
        <v>20</v>
      </c>
      <c r="E16" s="1">
        <v>25</v>
      </c>
      <c r="F16" s="1">
        <v>15</v>
      </c>
      <c r="G16" s="1">
        <v>17.440000000000001</v>
      </c>
      <c r="H16" s="1"/>
      <c r="I16" s="1"/>
      <c r="J16" s="1">
        <f t="shared" si="8"/>
        <v>77.44</v>
      </c>
      <c r="K16">
        <v>20</v>
      </c>
      <c r="L16">
        <v>12.42</v>
      </c>
      <c r="M16">
        <v>12.5</v>
      </c>
      <c r="O16">
        <f t="shared" si="9"/>
        <v>44.92</v>
      </c>
    </row>
    <row r="17" spans="1:15" x14ac:dyDescent="0.35">
      <c r="A17" t="s">
        <v>50</v>
      </c>
      <c r="B17" s="3">
        <v>3</v>
      </c>
      <c r="C17" s="1" t="s">
        <v>22</v>
      </c>
      <c r="D17" s="1">
        <v>20</v>
      </c>
      <c r="E17" s="1">
        <v>15</v>
      </c>
      <c r="F17" s="1">
        <v>15</v>
      </c>
      <c r="G17" s="1">
        <v>16.79</v>
      </c>
      <c r="H17" s="1"/>
      <c r="I17" s="1"/>
      <c r="J17" s="1">
        <f t="shared" si="8"/>
        <v>66.789999999999992</v>
      </c>
      <c r="K17">
        <v>20</v>
      </c>
      <c r="L17">
        <v>10.63</v>
      </c>
      <c r="M17">
        <v>10.67</v>
      </c>
      <c r="O17">
        <f t="shared" si="9"/>
        <v>41.300000000000004</v>
      </c>
    </row>
    <row r="18" spans="1:15" x14ac:dyDescent="0.35">
      <c r="A18" t="s">
        <v>50</v>
      </c>
      <c r="B18" s="3">
        <v>4</v>
      </c>
      <c r="C18" s="1" t="s">
        <v>23</v>
      </c>
      <c r="D18" s="1">
        <v>20</v>
      </c>
      <c r="E18" s="1">
        <v>10</v>
      </c>
      <c r="F18" s="1">
        <v>15</v>
      </c>
      <c r="G18" s="1">
        <v>17.86</v>
      </c>
      <c r="H18" s="1"/>
      <c r="I18" s="1"/>
      <c r="J18" s="1">
        <f t="shared" si="8"/>
        <v>62.86</v>
      </c>
      <c r="K18">
        <v>20</v>
      </c>
      <c r="L18">
        <v>12.75</v>
      </c>
      <c r="M18">
        <v>10.77</v>
      </c>
      <c r="N18">
        <v>25</v>
      </c>
      <c r="O18">
        <f t="shared" si="9"/>
        <v>68.52</v>
      </c>
    </row>
    <row r="19" spans="1:15" x14ac:dyDescent="0.35">
      <c r="A19" t="s">
        <v>51</v>
      </c>
      <c r="B19" s="3">
        <v>1</v>
      </c>
      <c r="C19" s="1" t="s">
        <v>24</v>
      </c>
      <c r="D19" s="1">
        <v>20</v>
      </c>
      <c r="E19" s="1">
        <v>10</v>
      </c>
      <c r="F19" s="1">
        <v>10</v>
      </c>
      <c r="G19" s="1">
        <v>19.39</v>
      </c>
      <c r="H19" s="1"/>
      <c r="I19" s="1">
        <v>8</v>
      </c>
      <c r="J19" s="1">
        <f t="shared" ref="J19:J20" si="10">SUM(D19:I19)</f>
        <v>67.39</v>
      </c>
      <c r="K19">
        <v>20</v>
      </c>
      <c r="L19">
        <v>12.75</v>
      </c>
      <c r="M19">
        <v>13.5</v>
      </c>
      <c r="O19">
        <f t="shared" ref="O19:O20" si="11">SUM(K19:N19)</f>
        <v>46.25</v>
      </c>
    </row>
    <row r="20" spans="1:15" x14ac:dyDescent="0.35">
      <c r="A20" t="s">
        <v>51</v>
      </c>
      <c r="B20" s="3">
        <v>2</v>
      </c>
      <c r="C20" s="1" t="s">
        <v>25</v>
      </c>
      <c r="D20" s="1">
        <v>20</v>
      </c>
      <c r="E20" s="1">
        <v>25</v>
      </c>
      <c r="F20" s="1">
        <v>25</v>
      </c>
      <c r="G20" s="1">
        <v>17.95</v>
      </c>
      <c r="H20" s="1"/>
      <c r="I20" s="1">
        <v>10</v>
      </c>
      <c r="J20" s="1">
        <f t="shared" si="10"/>
        <v>97.95</v>
      </c>
      <c r="K20">
        <v>20</v>
      </c>
      <c r="L20">
        <v>13.42</v>
      </c>
      <c r="M20">
        <v>14.33</v>
      </c>
      <c r="N20">
        <v>10</v>
      </c>
      <c r="O20">
        <f t="shared" si="11"/>
        <v>57.75</v>
      </c>
    </row>
    <row r="21" spans="1:15" x14ac:dyDescent="0.35">
      <c r="A21" t="s">
        <v>52</v>
      </c>
      <c r="B21" s="3">
        <v>1</v>
      </c>
      <c r="C21" s="1" t="s">
        <v>26</v>
      </c>
      <c r="D21" s="1">
        <v>20</v>
      </c>
      <c r="E21" s="1">
        <v>25</v>
      </c>
      <c r="F21" s="1">
        <v>15</v>
      </c>
      <c r="G21" s="1">
        <v>18</v>
      </c>
      <c r="H21" s="1"/>
      <c r="I21" s="1"/>
      <c r="J21" s="1">
        <f t="shared" ref="J21:J22" si="12">SUM(D21:I21)</f>
        <v>78</v>
      </c>
      <c r="K21">
        <v>20</v>
      </c>
      <c r="L21">
        <v>7.86</v>
      </c>
      <c r="M21">
        <v>13</v>
      </c>
      <c r="O21">
        <f t="shared" ref="O21:O22" si="13">SUM(K21:N21)</f>
        <v>40.86</v>
      </c>
    </row>
    <row r="22" spans="1:15" x14ac:dyDescent="0.35">
      <c r="A22" t="s">
        <v>52</v>
      </c>
      <c r="B22" s="3">
        <v>2</v>
      </c>
      <c r="C22" s="1" t="s">
        <v>27</v>
      </c>
      <c r="D22" s="1">
        <v>20</v>
      </c>
      <c r="E22" s="1">
        <v>15</v>
      </c>
      <c r="F22" s="1">
        <v>15</v>
      </c>
      <c r="G22" s="1">
        <v>17</v>
      </c>
      <c r="H22" s="1"/>
      <c r="I22" s="1"/>
      <c r="J22" s="1">
        <f t="shared" si="12"/>
        <v>67</v>
      </c>
      <c r="K22">
        <v>20</v>
      </c>
      <c r="L22">
        <v>9.26</v>
      </c>
      <c r="M22">
        <v>11.67</v>
      </c>
      <c r="O22">
        <f t="shared" si="13"/>
        <v>40.93</v>
      </c>
    </row>
    <row r="23" spans="1:15" x14ac:dyDescent="0.35">
      <c r="A23" t="s">
        <v>53</v>
      </c>
      <c r="B23" s="3">
        <v>1</v>
      </c>
      <c r="C23" s="1" t="s">
        <v>28</v>
      </c>
      <c r="D23" s="1">
        <v>20</v>
      </c>
      <c r="E23" s="1">
        <v>25</v>
      </c>
      <c r="F23" s="1">
        <v>10</v>
      </c>
      <c r="G23" s="1">
        <v>20.260000000000002</v>
      </c>
      <c r="H23" s="1"/>
      <c r="I23" s="1">
        <v>4</v>
      </c>
      <c r="J23" s="1">
        <f t="shared" ref="J23:J24" si="14">SUM(D23:I23)</f>
        <v>79.260000000000005</v>
      </c>
      <c r="K23">
        <v>20</v>
      </c>
      <c r="L23">
        <v>14.51</v>
      </c>
      <c r="M23">
        <v>14.03</v>
      </c>
      <c r="N23">
        <v>25</v>
      </c>
      <c r="O23">
        <f t="shared" ref="O23:O24" si="15">SUM(K23:N23)</f>
        <v>73.539999999999992</v>
      </c>
    </row>
    <row r="24" spans="1:15" x14ac:dyDescent="0.35">
      <c r="A24" t="s">
        <v>53</v>
      </c>
      <c r="B24" s="3">
        <v>2</v>
      </c>
      <c r="C24" s="1" t="s">
        <v>29</v>
      </c>
      <c r="D24" s="1">
        <v>20</v>
      </c>
      <c r="E24" s="1">
        <v>10</v>
      </c>
      <c r="F24" s="1">
        <v>25</v>
      </c>
      <c r="G24" s="1">
        <v>19.170000000000002</v>
      </c>
      <c r="H24" s="1"/>
      <c r="I24" s="1">
        <v>2</v>
      </c>
      <c r="J24" s="1">
        <f t="shared" si="14"/>
        <v>76.17</v>
      </c>
      <c r="K24">
        <v>20</v>
      </c>
      <c r="L24">
        <v>14.55</v>
      </c>
      <c r="M24">
        <v>13.33</v>
      </c>
      <c r="N24">
        <v>25</v>
      </c>
      <c r="O24">
        <f t="shared" si="15"/>
        <v>72.88</v>
      </c>
    </row>
    <row r="25" spans="1:15" x14ac:dyDescent="0.35">
      <c r="A25" t="s">
        <v>54</v>
      </c>
      <c r="B25" s="3">
        <v>1</v>
      </c>
      <c r="C25" s="1" t="s">
        <v>30</v>
      </c>
      <c r="D25" s="1">
        <v>20</v>
      </c>
      <c r="E25" s="1">
        <v>25</v>
      </c>
      <c r="F25" s="1">
        <v>15</v>
      </c>
      <c r="G25" s="1">
        <v>20</v>
      </c>
      <c r="H25" s="1"/>
      <c r="I25" s="1"/>
      <c r="J25" s="1">
        <f t="shared" ref="J25:J26" si="16">SUM(D25:I25)</f>
        <v>80</v>
      </c>
      <c r="K25">
        <v>20</v>
      </c>
      <c r="L25">
        <v>13.19</v>
      </c>
      <c r="M25">
        <v>12.33</v>
      </c>
      <c r="N25">
        <v>25</v>
      </c>
      <c r="O25">
        <f t="shared" ref="O25:O26" si="17">SUM(K25:N25)</f>
        <v>70.52</v>
      </c>
    </row>
    <row r="26" spans="1:15" x14ac:dyDescent="0.35">
      <c r="A26" t="s">
        <v>54</v>
      </c>
      <c r="B26" s="3">
        <v>2</v>
      </c>
      <c r="C26" s="1" t="s">
        <v>31</v>
      </c>
      <c r="D26" s="1">
        <v>20</v>
      </c>
      <c r="E26" s="1">
        <v>10</v>
      </c>
      <c r="F26" s="1">
        <v>15</v>
      </c>
      <c r="G26" s="1">
        <v>16.39</v>
      </c>
      <c r="H26" s="1"/>
      <c r="I26" s="1"/>
      <c r="J26" s="1">
        <f t="shared" si="16"/>
        <v>61.39</v>
      </c>
      <c r="K26">
        <v>0</v>
      </c>
      <c r="L26">
        <v>11.17</v>
      </c>
      <c r="M26">
        <v>11.25</v>
      </c>
      <c r="O26">
        <f t="shared" si="17"/>
        <v>22.42</v>
      </c>
    </row>
    <row r="27" spans="1:15" x14ac:dyDescent="0.35">
      <c r="A27" t="s">
        <v>55</v>
      </c>
      <c r="B27" s="3">
        <v>1</v>
      </c>
      <c r="C27" s="1" t="s">
        <v>32</v>
      </c>
      <c r="D27" s="1">
        <v>20</v>
      </c>
      <c r="E27" s="1">
        <v>10</v>
      </c>
      <c r="F27" s="1">
        <v>10</v>
      </c>
      <c r="G27" s="1">
        <v>19.36</v>
      </c>
      <c r="H27" s="1">
        <v>-3</v>
      </c>
      <c r="I27" s="1"/>
      <c r="J27" s="1">
        <f t="shared" ref="J27:J30" si="18">SUM(D27:I27)</f>
        <v>56.36</v>
      </c>
      <c r="K27">
        <v>20</v>
      </c>
      <c r="L27">
        <v>14.93</v>
      </c>
      <c r="M27">
        <v>10</v>
      </c>
      <c r="O27">
        <f t="shared" ref="O27:O30" si="19">SUM(K27:N27)</f>
        <v>44.93</v>
      </c>
    </row>
    <row r="28" spans="1:15" x14ac:dyDescent="0.35">
      <c r="A28" t="s">
        <v>55</v>
      </c>
      <c r="B28" s="3">
        <v>2</v>
      </c>
      <c r="C28" s="1" t="s">
        <v>33</v>
      </c>
      <c r="D28" s="1">
        <v>20</v>
      </c>
      <c r="E28" s="1">
        <v>25</v>
      </c>
      <c r="F28" s="1">
        <v>25</v>
      </c>
      <c r="G28" s="1">
        <v>15.42</v>
      </c>
      <c r="H28" s="1">
        <v>-4</v>
      </c>
      <c r="I28" s="1"/>
      <c r="J28" s="1">
        <f t="shared" si="18"/>
        <v>81.42</v>
      </c>
      <c r="K28">
        <v>0</v>
      </c>
      <c r="L28">
        <v>13.24</v>
      </c>
      <c r="M28">
        <v>10.61</v>
      </c>
      <c r="O28">
        <f t="shared" si="19"/>
        <v>23.85</v>
      </c>
    </row>
    <row r="29" spans="1:15" x14ac:dyDescent="0.35">
      <c r="A29" t="s">
        <v>55</v>
      </c>
      <c r="B29" s="3">
        <v>3</v>
      </c>
      <c r="C29" s="1" t="s">
        <v>34</v>
      </c>
      <c r="D29" s="1">
        <v>20</v>
      </c>
      <c r="E29" s="1">
        <v>10</v>
      </c>
      <c r="F29" s="1">
        <v>10</v>
      </c>
      <c r="G29" s="1">
        <v>16</v>
      </c>
      <c r="H29" s="1">
        <v>-4</v>
      </c>
      <c r="I29" s="1"/>
      <c r="J29" s="1">
        <f t="shared" si="18"/>
        <v>52</v>
      </c>
      <c r="K29">
        <v>20</v>
      </c>
      <c r="L29">
        <v>12.08</v>
      </c>
      <c r="M29">
        <v>10.24</v>
      </c>
      <c r="O29">
        <f t="shared" si="19"/>
        <v>42.32</v>
      </c>
    </row>
    <row r="30" spans="1:15" x14ac:dyDescent="0.35">
      <c r="A30" t="s">
        <v>55</v>
      </c>
      <c r="B30" s="3">
        <v>4</v>
      </c>
      <c r="C30" s="1" t="s">
        <v>35</v>
      </c>
      <c r="D30" s="1">
        <v>20</v>
      </c>
      <c r="E30" s="1">
        <v>25</v>
      </c>
      <c r="F30" s="1">
        <v>25</v>
      </c>
      <c r="G30" s="1">
        <v>16.25</v>
      </c>
      <c r="H30" s="1">
        <v>-1</v>
      </c>
      <c r="I30" s="1"/>
      <c r="J30" s="1">
        <f t="shared" si="18"/>
        <v>85.25</v>
      </c>
      <c r="K30">
        <v>20</v>
      </c>
      <c r="L30">
        <v>14.44</v>
      </c>
      <c r="M30">
        <v>10.61</v>
      </c>
      <c r="N30">
        <v>25</v>
      </c>
      <c r="O30">
        <f t="shared" si="19"/>
        <v>70.05</v>
      </c>
    </row>
    <row r="31" spans="1:15" x14ac:dyDescent="0.35">
      <c r="A31" t="s">
        <v>56</v>
      </c>
      <c r="B31" s="3">
        <v>1</v>
      </c>
      <c r="C31" s="1" t="s">
        <v>36</v>
      </c>
      <c r="D31" s="1">
        <v>20</v>
      </c>
      <c r="E31" s="1">
        <v>10</v>
      </c>
      <c r="F31" s="1">
        <v>15</v>
      </c>
      <c r="G31" s="1">
        <v>20.63</v>
      </c>
      <c r="H31" s="1">
        <v>0</v>
      </c>
      <c r="I31" s="1"/>
      <c r="J31" s="1">
        <f t="shared" ref="J31:J40" si="20">SUM(D31:I31)</f>
        <v>65.63</v>
      </c>
      <c r="K31">
        <v>20</v>
      </c>
      <c r="L31">
        <v>13.89</v>
      </c>
      <c r="M31">
        <v>13</v>
      </c>
      <c r="O31">
        <f t="shared" ref="O31:O40" si="21">SUM(K31:N31)</f>
        <v>46.89</v>
      </c>
    </row>
    <row r="32" spans="1:15" x14ac:dyDescent="0.35">
      <c r="A32" t="s">
        <v>56</v>
      </c>
      <c r="B32" s="3">
        <v>2</v>
      </c>
      <c r="C32" s="1" t="s">
        <v>37</v>
      </c>
      <c r="D32" s="1">
        <v>20</v>
      </c>
      <c r="E32" s="1">
        <v>10</v>
      </c>
      <c r="F32" s="1">
        <v>15</v>
      </c>
      <c r="G32" s="1">
        <v>21.67</v>
      </c>
      <c r="H32" s="1">
        <v>0</v>
      </c>
      <c r="I32" s="1"/>
      <c r="J32" s="1">
        <f t="shared" si="20"/>
        <v>66.67</v>
      </c>
      <c r="K32">
        <v>20</v>
      </c>
      <c r="L32">
        <v>10.33</v>
      </c>
      <c r="M32">
        <v>12.22</v>
      </c>
      <c r="N32">
        <v>10</v>
      </c>
      <c r="O32">
        <f t="shared" si="21"/>
        <v>52.55</v>
      </c>
    </row>
    <row r="33" spans="1:15" x14ac:dyDescent="0.35">
      <c r="A33" t="s">
        <v>56</v>
      </c>
      <c r="B33" s="3">
        <v>3</v>
      </c>
      <c r="C33" s="1" t="s">
        <v>38</v>
      </c>
      <c r="D33" s="1">
        <v>20</v>
      </c>
      <c r="E33" s="1">
        <v>15</v>
      </c>
      <c r="F33" s="1">
        <v>15</v>
      </c>
      <c r="G33" s="1">
        <v>19.07</v>
      </c>
      <c r="H33" s="1">
        <v>0</v>
      </c>
      <c r="I33" s="1"/>
      <c r="J33" s="1">
        <f t="shared" si="20"/>
        <v>69.069999999999993</v>
      </c>
      <c r="K33">
        <v>20</v>
      </c>
      <c r="L33">
        <v>12.64</v>
      </c>
      <c r="M33">
        <v>12.14</v>
      </c>
      <c r="N33">
        <v>25</v>
      </c>
      <c r="O33">
        <f t="shared" si="21"/>
        <v>69.78</v>
      </c>
    </row>
    <row r="34" spans="1:15" x14ac:dyDescent="0.35">
      <c r="A34" t="s">
        <v>56</v>
      </c>
      <c r="B34" s="3">
        <v>4</v>
      </c>
      <c r="C34" s="1" t="s">
        <v>39</v>
      </c>
      <c r="D34" s="1">
        <v>20</v>
      </c>
      <c r="E34" s="1">
        <v>10</v>
      </c>
      <c r="F34" s="1">
        <v>15</v>
      </c>
      <c r="G34" s="1">
        <v>21.11</v>
      </c>
      <c r="H34" s="1">
        <v>0</v>
      </c>
      <c r="I34" s="1"/>
      <c r="J34" s="1">
        <f t="shared" si="20"/>
        <v>66.11</v>
      </c>
      <c r="K34">
        <v>20</v>
      </c>
      <c r="L34">
        <v>13.89</v>
      </c>
      <c r="M34">
        <v>14.67</v>
      </c>
      <c r="N34">
        <v>10</v>
      </c>
      <c r="O34">
        <f t="shared" si="21"/>
        <v>58.56</v>
      </c>
    </row>
    <row r="35" spans="1:15" x14ac:dyDescent="0.35">
      <c r="A35" t="s">
        <v>56</v>
      </c>
      <c r="B35" s="3">
        <v>5</v>
      </c>
      <c r="C35" s="1" t="s">
        <v>40</v>
      </c>
      <c r="D35" s="1">
        <v>20</v>
      </c>
      <c r="E35" s="1">
        <v>10</v>
      </c>
      <c r="F35" s="1">
        <v>15</v>
      </c>
      <c r="G35" s="1">
        <v>20.69</v>
      </c>
      <c r="H35" s="1">
        <v>0</v>
      </c>
      <c r="I35" s="1"/>
      <c r="J35" s="1">
        <f t="shared" si="20"/>
        <v>65.69</v>
      </c>
      <c r="K35">
        <v>20</v>
      </c>
      <c r="L35">
        <v>11.76</v>
      </c>
      <c r="M35">
        <v>12.22</v>
      </c>
      <c r="N35">
        <v>25</v>
      </c>
      <c r="O35">
        <f t="shared" si="21"/>
        <v>68.97999999999999</v>
      </c>
    </row>
    <row r="36" spans="1:15" x14ac:dyDescent="0.35">
      <c r="A36" t="s">
        <v>56</v>
      </c>
      <c r="B36" s="3">
        <v>6</v>
      </c>
      <c r="C36" s="1" t="s">
        <v>41</v>
      </c>
      <c r="D36" s="1">
        <v>20</v>
      </c>
      <c r="E36" s="1">
        <v>25</v>
      </c>
      <c r="F36" s="1">
        <v>15</v>
      </c>
      <c r="G36" s="1">
        <v>19.739999999999998</v>
      </c>
      <c r="H36" s="1">
        <v>0</v>
      </c>
      <c r="I36" s="1"/>
      <c r="J36" s="1">
        <f t="shared" si="20"/>
        <v>79.739999999999995</v>
      </c>
      <c r="K36">
        <v>20</v>
      </c>
      <c r="L36">
        <v>13.23</v>
      </c>
      <c r="M36">
        <v>10.45</v>
      </c>
      <c r="O36">
        <f t="shared" si="21"/>
        <v>43.680000000000007</v>
      </c>
    </row>
    <row r="37" spans="1:15" x14ac:dyDescent="0.35">
      <c r="A37" t="s">
        <v>56</v>
      </c>
      <c r="B37" s="3">
        <v>7</v>
      </c>
      <c r="C37" s="1" t="s">
        <v>42</v>
      </c>
      <c r="D37" s="1">
        <v>20</v>
      </c>
      <c r="E37" s="1">
        <v>25</v>
      </c>
      <c r="F37" s="1">
        <v>15</v>
      </c>
      <c r="G37" s="1">
        <v>18.5</v>
      </c>
      <c r="H37" s="1">
        <v>0</v>
      </c>
      <c r="I37" s="1"/>
      <c r="J37" s="1">
        <f t="shared" si="20"/>
        <v>78.5</v>
      </c>
      <c r="K37">
        <v>20</v>
      </c>
      <c r="L37">
        <v>14.26</v>
      </c>
      <c r="M37">
        <v>12.78</v>
      </c>
      <c r="O37">
        <f t="shared" si="21"/>
        <v>47.04</v>
      </c>
    </row>
    <row r="38" spans="1:15" x14ac:dyDescent="0.35">
      <c r="A38" t="s">
        <v>56</v>
      </c>
      <c r="B38" s="3">
        <v>8</v>
      </c>
      <c r="C38" s="1" t="s">
        <v>43</v>
      </c>
      <c r="D38" s="1">
        <v>20</v>
      </c>
      <c r="E38" s="1">
        <v>15</v>
      </c>
      <c r="F38" s="1">
        <v>15</v>
      </c>
      <c r="G38" s="1">
        <v>20.14</v>
      </c>
      <c r="H38" s="1">
        <v>0</v>
      </c>
      <c r="I38" s="1"/>
      <c r="J38" s="1">
        <f t="shared" si="20"/>
        <v>70.14</v>
      </c>
      <c r="K38">
        <v>20</v>
      </c>
      <c r="L38">
        <v>11.85</v>
      </c>
      <c r="M38">
        <v>12</v>
      </c>
      <c r="N38">
        <v>10</v>
      </c>
      <c r="O38">
        <f t="shared" si="21"/>
        <v>53.85</v>
      </c>
    </row>
    <row r="39" spans="1:15" x14ac:dyDescent="0.35">
      <c r="A39" t="s">
        <v>56</v>
      </c>
      <c r="B39" s="3">
        <v>9</v>
      </c>
      <c r="C39" s="1" t="s">
        <v>17</v>
      </c>
      <c r="D39" s="1">
        <v>20</v>
      </c>
      <c r="E39" s="1">
        <v>25</v>
      </c>
      <c r="F39" s="1">
        <v>15</v>
      </c>
      <c r="G39" s="1">
        <v>21.92</v>
      </c>
      <c r="H39" s="1">
        <v>0</v>
      </c>
      <c r="I39" s="1"/>
      <c r="J39" s="1">
        <f t="shared" si="20"/>
        <v>81.92</v>
      </c>
      <c r="K39">
        <v>20</v>
      </c>
      <c r="L39">
        <v>12.08</v>
      </c>
      <c r="M39">
        <v>11.67</v>
      </c>
      <c r="N39">
        <v>25</v>
      </c>
      <c r="O39">
        <f t="shared" si="21"/>
        <v>68.75</v>
      </c>
    </row>
    <row r="40" spans="1:15" x14ac:dyDescent="0.35">
      <c r="A40" t="s">
        <v>56</v>
      </c>
      <c r="B40" s="3">
        <v>10</v>
      </c>
      <c r="C40" s="1" t="s">
        <v>44</v>
      </c>
      <c r="D40" s="1">
        <v>20</v>
      </c>
      <c r="E40" s="1">
        <v>25</v>
      </c>
      <c r="F40" s="1">
        <v>15</v>
      </c>
      <c r="G40" s="1">
        <v>19.489999999999998</v>
      </c>
      <c r="H40" s="1">
        <v>0</v>
      </c>
      <c r="I40" s="1"/>
      <c r="J40" s="1">
        <f t="shared" si="20"/>
        <v>79.489999999999995</v>
      </c>
      <c r="K40">
        <v>20</v>
      </c>
      <c r="L40">
        <v>13.17</v>
      </c>
      <c r="M40">
        <v>11.36</v>
      </c>
      <c r="N40">
        <v>25</v>
      </c>
      <c r="O40">
        <f t="shared" si="21"/>
        <v>69.53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Gerente de Procesos Smile Pill</dc:creator>
  <cp:keywords/>
  <dc:description/>
  <cp:lastModifiedBy>Gerente de Procesos Smile Pill</cp:lastModifiedBy>
  <cp:revision/>
  <dcterms:created xsi:type="dcterms:W3CDTF">2026-03-20T19:04:10Z</dcterms:created>
  <dcterms:modified xsi:type="dcterms:W3CDTF">2026-05-22T22:23:43Z</dcterms:modified>
  <cp:category/>
  <cp:contentStatus/>
</cp:coreProperties>
</file>